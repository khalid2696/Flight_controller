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mano\Documents\DipTrace\Projects\RPMmeter\BOM\"/>
    </mc:Choice>
  </mc:AlternateContent>
  <bookViews>
    <workbookView xWindow="0" yWindow="0" windowWidth="20490" windowHeight="7755" activeTab="1"/>
  </bookViews>
  <sheets>
    <sheet name="BOM" sheetId="1" r:id="rId1"/>
    <sheet name="buylist" sheetId="2" r:id="rId2"/>
  </sheets>
  <calcPr calcId="152511"/>
</workbook>
</file>

<file path=xl/calcChain.xml><?xml version="1.0" encoding="utf-8"?>
<calcChain xmlns="http://schemas.openxmlformats.org/spreadsheetml/2006/main">
  <c r="C40" i="2" l="1"/>
  <c r="C39" i="2"/>
</calcChain>
</file>

<file path=xl/sharedStrings.xml><?xml version="1.0" encoding="utf-8"?>
<sst xmlns="http://schemas.openxmlformats.org/spreadsheetml/2006/main" count="256" uniqueCount="135">
  <si>
    <t>RefDes</t>
  </si>
  <si>
    <t>Name</t>
  </si>
  <si>
    <t>Value</t>
  </si>
  <si>
    <t>Pattern</t>
  </si>
  <si>
    <t>Quantity</t>
  </si>
  <si>
    <t>Datasheet</t>
  </si>
  <si>
    <t>Manufacturer</t>
  </si>
  <si>
    <t>C2</t>
  </si>
  <si>
    <t>CAP_0805</t>
  </si>
  <si>
    <t>22pF</t>
  </si>
  <si>
    <t>C3</t>
  </si>
  <si>
    <t>C4</t>
  </si>
  <si>
    <t>0.1uF</t>
  </si>
  <si>
    <t>C5</t>
  </si>
  <si>
    <t>C6</t>
  </si>
  <si>
    <t>C7</t>
  </si>
  <si>
    <t>D1</t>
  </si>
  <si>
    <t>DIODE_0805</t>
  </si>
  <si>
    <t>LED</t>
  </si>
  <si>
    <t>DIO_0805</t>
  </si>
  <si>
    <t>D2</t>
  </si>
  <si>
    <t>LED-IR</t>
  </si>
  <si>
    <t>OFL 3102</t>
  </si>
  <si>
    <t>http://in.element14.com/multicomp/ofl-3102/ir-emitter-940nm-3mm-through-hole/dp/1716707</t>
  </si>
  <si>
    <t>multicomp</t>
  </si>
  <si>
    <t>D3</t>
  </si>
  <si>
    <t>J1</t>
  </si>
  <si>
    <t>ftdi</t>
  </si>
  <si>
    <t>FTDI</t>
  </si>
  <si>
    <t>J2</t>
  </si>
  <si>
    <t>icsp</t>
  </si>
  <si>
    <t>J3</t>
  </si>
  <si>
    <t>i2c_thHole</t>
  </si>
  <si>
    <t>hdr4x1</t>
  </si>
  <si>
    <t>HDR-1x4</t>
  </si>
  <si>
    <t>J4</t>
  </si>
  <si>
    <t>debug</t>
  </si>
  <si>
    <t>DEBUG</t>
  </si>
  <si>
    <t>PH1</t>
  </si>
  <si>
    <t>OP505D</t>
  </si>
  <si>
    <t>op505D</t>
  </si>
  <si>
    <t>OP505A</t>
  </si>
  <si>
    <t>http://datasheets.diptrace.com/sensors_led/OP505A.PDF</t>
  </si>
  <si>
    <t>TT Electronics</t>
  </si>
  <si>
    <t>R1</t>
  </si>
  <si>
    <t>RES_0805</t>
  </si>
  <si>
    <t>10K</t>
  </si>
  <si>
    <t>R2</t>
  </si>
  <si>
    <t>220ohm</t>
  </si>
  <si>
    <t>R3</t>
  </si>
  <si>
    <t>RES-10.16/5.1x2.5</t>
  </si>
  <si>
    <t>R4</t>
  </si>
  <si>
    <t>T73YE Trimmer</t>
  </si>
  <si>
    <t>10k_var</t>
  </si>
  <si>
    <t>T73YE</t>
  </si>
  <si>
    <t>http://in.rsdelivers.com/product/vishay/t73ye103kt20/vishay-t73-series-through-hole-trimmer-resistor/8509643</t>
  </si>
  <si>
    <t>Vishay</t>
  </si>
  <si>
    <t>R5</t>
  </si>
  <si>
    <t>1k</t>
  </si>
  <si>
    <t>R6</t>
  </si>
  <si>
    <t>Rx</t>
  </si>
  <si>
    <t>5.1k</t>
  </si>
  <si>
    <t>R7</t>
  </si>
  <si>
    <t>Ry</t>
  </si>
  <si>
    <t>10k</t>
  </si>
  <si>
    <t>R8</t>
  </si>
  <si>
    <t>Rh</t>
  </si>
  <si>
    <t>27k</t>
  </si>
  <si>
    <t>R9</t>
  </si>
  <si>
    <t>pull_up</t>
  </si>
  <si>
    <t>R10</t>
  </si>
  <si>
    <t>330ohm</t>
  </si>
  <si>
    <t>S1</t>
  </si>
  <si>
    <t>PUSHBUTTONNO</t>
  </si>
  <si>
    <t>reset smd</t>
  </si>
  <si>
    <t>U1</t>
  </si>
  <si>
    <t>atmega328TQFP</t>
  </si>
  <si>
    <t>atmega328 TQFP</t>
  </si>
  <si>
    <t>U2</t>
  </si>
  <si>
    <t>lm311</t>
  </si>
  <si>
    <t xml:space="preserve">LM311DT </t>
  </si>
  <si>
    <t>SOIC-8/150mil</t>
  </si>
  <si>
    <t>http://in.rsdelivers.com/product/stmicroelectronics/lm311dt/stmicroelectronics-lm311dt-comparator-dtl-rtl-ttl/8772756</t>
  </si>
  <si>
    <t>ST</t>
  </si>
  <si>
    <t>Y1</t>
  </si>
  <si>
    <t>crystal_smd_16mhz</t>
  </si>
  <si>
    <t>16Mhz</t>
  </si>
  <si>
    <t>crystal 16Mhz</t>
  </si>
  <si>
    <t>http://in.element14.com/abracon/abls7m2-16-000mhz-d-2y-t/crystal-16mhz-18pf-hc-49us/dp/2467687?st=16mhz</t>
  </si>
  <si>
    <t xml:space="preserve"> Abracon</t>
  </si>
  <si>
    <t>Quantity per board</t>
  </si>
  <si>
    <t>BUY quantity</t>
  </si>
  <si>
    <t>LED_red</t>
  </si>
  <si>
    <t>LED_green</t>
  </si>
  <si>
    <t>SNO</t>
  </si>
  <si>
    <t>Female Header</t>
  </si>
  <si>
    <t>Male Header</t>
  </si>
  <si>
    <t>2.54 spacing</t>
  </si>
  <si>
    <t>LED holder</t>
  </si>
  <si>
    <t>http://in.element14.com/multicomp/led-2f/led-holder-right-angle-3mm5mm/dp/9555420</t>
  </si>
  <si>
    <t>LED 2F </t>
  </si>
  <si>
    <t>LED Holder, White, Plastic, 3mm and 5mm LEDs</t>
  </si>
  <si>
    <t>https://in.rsdelivers.com/product/stmicroelectronics/lm311dt/stmicroelectronics-lm311dt-comparator-dtl-rtl-ttl/8772756</t>
  </si>
  <si>
    <t>https://in.rsdelivers.com/product/c-k/ksr232g-lfs/button-tact-switch-no-50-ma-32-v-dc-08mm/0516255</t>
  </si>
  <si>
    <t>http://in.element14.com/microchip/atmega328p-au/mcu-8bit-atmega-20mhz-tqfp-32/dp/1715486</t>
  </si>
  <si>
    <t>FTDI module</t>
  </si>
  <si>
    <t>stm32,FTDI wires</t>
  </si>
  <si>
    <t>i2c wire from stm to rpm sensor</t>
  </si>
  <si>
    <t>mounting screws</t>
  </si>
  <si>
    <t>check</t>
  </si>
  <si>
    <t>yes</t>
  </si>
  <si>
    <t>LED-IR 30deg</t>
  </si>
  <si>
    <t>LED-IR 16deg</t>
  </si>
  <si>
    <t>-</t>
  </si>
  <si>
    <t xml:space="preserve">TSUS4300 </t>
  </si>
  <si>
    <t>3mm</t>
  </si>
  <si>
    <t>LED-IR 3mm</t>
  </si>
  <si>
    <t>in.element14.com/vishay/tsus4300/ir-emitter-3mm-950nm/dp/1045518</t>
  </si>
  <si>
    <t>already there</t>
  </si>
  <si>
    <t>y</t>
  </si>
  <si>
    <t>not needed now</t>
  </si>
  <si>
    <t>ORDER DETAILS</t>
  </si>
  <si>
    <t>Amazon</t>
  </si>
  <si>
    <t>Rsdelivers</t>
  </si>
  <si>
    <t>element14</t>
  </si>
  <si>
    <t>Shop</t>
  </si>
  <si>
    <t>Cost</t>
  </si>
  <si>
    <t>Payee</t>
  </si>
  <si>
    <t>Manoj</t>
  </si>
  <si>
    <t>PCB Power</t>
  </si>
  <si>
    <t>Order status</t>
  </si>
  <si>
    <t>ordered</t>
  </si>
  <si>
    <t>perboard</t>
  </si>
  <si>
    <t>Delivery status</t>
  </si>
  <si>
    <t>Reimbursement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</si>
</sst>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0" borderId="0" xfId="42"/>
    <xf numFmtId="1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n.element14.com/vishay/tsus4300/ir-emitter-3mm-950nm/dp/10455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selection activeCell="C15" sqref="A1:G30"/>
    </sheetView>
  </sheetViews>
  <sheetFormatPr defaultRowHeight="15" x14ac:dyDescent="0.25"/>
  <cols>
    <col min="2" max="2" width="21" customWidth="1"/>
    <col min="3" max="3" width="22.5703125" customWidth="1"/>
    <col min="4" max="4" width="18.85546875" customWidth="1"/>
    <col min="5" max="5" width="13" customWidth="1"/>
    <col min="6" max="6" width="3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8</v>
      </c>
      <c r="E2">
        <v>1</v>
      </c>
    </row>
    <row r="3" spans="1:7" x14ac:dyDescent="0.25">
      <c r="A3" t="s">
        <v>10</v>
      </c>
      <c r="B3" t="s">
        <v>8</v>
      </c>
      <c r="C3" t="s">
        <v>9</v>
      </c>
      <c r="D3" t="s">
        <v>8</v>
      </c>
      <c r="E3">
        <v>1</v>
      </c>
    </row>
    <row r="4" spans="1:7" x14ac:dyDescent="0.25">
      <c r="A4" t="s">
        <v>11</v>
      </c>
      <c r="B4" t="s">
        <v>8</v>
      </c>
      <c r="C4" t="s">
        <v>12</v>
      </c>
      <c r="D4" t="s">
        <v>8</v>
      </c>
      <c r="E4">
        <v>1</v>
      </c>
    </row>
    <row r="5" spans="1:7" x14ac:dyDescent="0.25">
      <c r="A5" t="s">
        <v>13</v>
      </c>
      <c r="B5" t="s">
        <v>8</v>
      </c>
      <c r="C5" t="s">
        <v>12</v>
      </c>
      <c r="D5" t="s">
        <v>8</v>
      </c>
      <c r="E5">
        <v>1</v>
      </c>
    </row>
    <row r="6" spans="1:7" x14ac:dyDescent="0.25">
      <c r="A6" t="s">
        <v>14</v>
      </c>
      <c r="B6" t="s">
        <v>8</v>
      </c>
      <c r="C6" t="s">
        <v>12</v>
      </c>
      <c r="D6" t="s">
        <v>8</v>
      </c>
      <c r="E6">
        <v>1</v>
      </c>
    </row>
    <row r="7" spans="1:7" x14ac:dyDescent="0.25">
      <c r="A7" t="s">
        <v>15</v>
      </c>
      <c r="B7" t="s">
        <v>8</v>
      </c>
      <c r="C7" t="s">
        <v>12</v>
      </c>
      <c r="D7" t="s">
        <v>8</v>
      </c>
      <c r="E7">
        <v>1</v>
      </c>
    </row>
    <row r="8" spans="1:7" x14ac:dyDescent="0.25">
      <c r="A8" t="s">
        <v>16</v>
      </c>
      <c r="B8" t="s">
        <v>17</v>
      </c>
      <c r="C8" t="s">
        <v>18</v>
      </c>
      <c r="D8" t="s">
        <v>19</v>
      </c>
      <c r="E8">
        <v>1</v>
      </c>
    </row>
    <row r="9" spans="1:7" x14ac:dyDescent="0.25">
      <c r="A9" t="s">
        <v>20</v>
      </c>
      <c r="B9" t="s">
        <v>21</v>
      </c>
      <c r="C9" t="s">
        <v>22</v>
      </c>
      <c r="D9" t="s">
        <v>21</v>
      </c>
      <c r="E9">
        <v>1</v>
      </c>
      <c r="F9" t="s">
        <v>23</v>
      </c>
      <c r="G9" t="s">
        <v>24</v>
      </c>
    </row>
    <row r="10" spans="1:7" x14ac:dyDescent="0.25">
      <c r="A10" t="s">
        <v>25</v>
      </c>
      <c r="B10" t="s">
        <v>17</v>
      </c>
      <c r="C10" t="s">
        <v>18</v>
      </c>
      <c r="D10" t="s">
        <v>19</v>
      </c>
      <c r="E10">
        <v>1</v>
      </c>
    </row>
    <row r="11" spans="1:7" x14ac:dyDescent="0.25">
      <c r="A11" t="s">
        <v>26</v>
      </c>
      <c r="B11" t="s">
        <v>27</v>
      </c>
      <c r="D11" t="s">
        <v>28</v>
      </c>
      <c r="E11">
        <v>1</v>
      </c>
    </row>
    <row r="12" spans="1:7" x14ac:dyDescent="0.25">
      <c r="A12" t="s">
        <v>29</v>
      </c>
      <c r="B12" t="s">
        <v>30</v>
      </c>
      <c r="D12" t="s">
        <v>30</v>
      </c>
      <c r="E12">
        <v>1</v>
      </c>
    </row>
    <row r="13" spans="1:7" x14ac:dyDescent="0.25">
      <c r="A13" t="s">
        <v>31</v>
      </c>
      <c r="B13" t="s">
        <v>32</v>
      </c>
      <c r="C13" t="s">
        <v>33</v>
      </c>
      <c r="D13" t="s">
        <v>34</v>
      </c>
      <c r="E13">
        <v>1</v>
      </c>
    </row>
    <row r="14" spans="1:7" x14ac:dyDescent="0.25">
      <c r="A14" t="s">
        <v>35</v>
      </c>
      <c r="B14" t="s">
        <v>36</v>
      </c>
      <c r="D14" t="s">
        <v>37</v>
      </c>
      <c r="E14">
        <v>1</v>
      </c>
    </row>
    <row r="15" spans="1:7" x14ac:dyDescent="0.25">
      <c r="A15" t="s">
        <v>38</v>
      </c>
      <c r="B15" t="s">
        <v>39</v>
      </c>
      <c r="C15" t="s">
        <v>40</v>
      </c>
      <c r="D15" t="s">
        <v>41</v>
      </c>
      <c r="E15">
        <v>1</v>
      </c>
      <c r="F15" t="s">
        <v>42</v>
      </c>
      <c r="G15" t="s">
        <v>43</v>
      </c>
    </row>
    <row r="16" spans="1:7" x14ac:dyDescent="0.25">
      <c r="A16" t="s">
        <v>44</v>
      </c>
      <c r="B16" t="s">
        <v>45</v>
      </c>
      <c r="C16" t="s">
        <v>46</v>
      </c>
      <c r="D16" t="s">
        <v>45</v>
      </c>
      <c r="E16">
        <v>1</v>
      </c>
    </row>
    <row r="17" spans="1:7" x14ac:dyDescent="0.25">
      <c r="A17" t="s">
        <v>47</v>
      </c>
      <c r="B17" t="s">
        <v>45</v>
      </c>
      <c r="C17" t="s">
        <v>48</v>
      </c>
      <c r="D17" t="s">
        <v>45</v>
      </c>
      <c r="E17">
        <v>1</v>
      </c>
    </row>
    <row r="18" spans="1:7" x14ac:dyDescent="0.25">
      <c r="A18" t="s">
        <v>49</v>
      </c>
      <c r="B18" t="s">
        <v>48</v>
      </c>
      <c r="C18" t="s">
        <v>48</v>
      </c>
      <c r="D18" t="s">
        <v>50</v>
      </c>
      <c r="E18">
        <v>1</v>
      </c>
    </row>
    <row r="19" spans="1:7" x14ac:dyDescent="0.25">
      <c r="A19" t="s">
        <v>51</v>
      </c>
      <c r="B19" t="s">
        <v>52</v>
      </c>
      <c r="C19" t="s">
        <v>53</v>
      </c>
      <c r="D19" t="s">
        <v>54</v>
      </c>
      <c r="E19">
        <v>1</v>
      </c>
      <c r="F19" t="s">
        <v>55</v>
      </c>
      <c r="G19" t="s">
        <v>56</v>
      </c>
    </row>
    <row r="20" spans="1:7" x14ac:dyDescent="0.25">
      <c r="A20" t="s">
        <v>57</v>
      </c>
      <c r="B20" t="s">
        <v>58</v>
      </c>
      <c r="C20" t="s">
        <v>58</v>
      </c>
      <c r="D20" t="s">
        <v>50</v>
      </c>
      <c r="E20">
        <v>1</v>
      </c>
    </row>
    <row r="21" spans="1:7" x14ac:dyDescent="0.25">
      <c r="A21" t="s">
        <v>59</v>
      </c>
      <c r="B21" t="s">
        <v>60</v>
      </c>
      <c r="C21" t="s">
        <v>61</v>
      </c>
      <c r="D21" t="s">
        <v>50</v>
      </c>
      <c r="E21">
        <v>1</v>
      </c>
    </row>
    <row r="22" spans="1:7" x14ac:dyDescent="0.25">
      <c r="A22" t="s">
        <v>62</v>
      </c>
      <c r="B22" t="s">
        <v>63</v>
      </c>
      <c r="C22" t="s">
        <v>64</v>
      </c>
      <c r="D22" t="s">
        <v>50</v>
      </c>
      <c r="E22">
        <v>1</v>
      </c>
    </row>
    <row r="23" spans="1:7" x14ac:dyDescent="0.25">
      <c r="A23" t="s">
        <v>65</v>
      </c>
      <c r="B23" t="s">
        <v>66</v>
      </c>
      <c r="C23" t="s">
        <v>67</v>
      </c>
      <c r="D23" t="s">
        <v>50</v>
      </c>
      <c r="E23">
        <v>1</v>
      </c>
    </row>
    <row r="24" spans="1:7" x14ac:dyDescent="0.25">
      <c r="A24" t="s">
        <v>68</v>
      </c>
      <c r="B24" t="s">
        <v>69</v>
      </c>
      <c r="C24" t="s">
        <v>64</v>
      </c>
      <c r="D24" t="s">
        <v>50</v>
      </c>
      <c r="E24">
        <v>1</v>
      </c>
    </row>
    <row r="25" spans="1:7" x14ac:dyDescent="0.25">
      <c r="A25" t="s">
        <v>70</v>
      </c>
      <c r="B25" t="s">
        <v>71</v>
      </c>
      <c r="C25">
        <v>330</v>
      </c>
      <c r="D25" t="s">
        <v>50</v>
      </c>
      <c r="E25">
        <v>1</v>
      </c>
    </row>
    <row r="26" spans="1:7" x14ac:dyDescent="0.25">
      <c r="A26" t="s">
        <v>72</v>
      </c>
      <c r="B26" t="s">
        <v>73</v>
      </c>
      <c r="D26" t="s">
        <v>74</v>
      </c>
      <c r="E26">
        <v>1</v>
      </c>
    </row>
    <row r="27" spans="1:7" x14ac:dyDescent="0.25">
      <c r="A27" t="s">
        <v>75</v>
      </c>
      <c r="B27" t="s">
        <v>76</v>
      </c>
      <c r="C27" t="s">
        <v>77</v>
      </c>
      <c r="D27" t="s">
        <v>76</v>
      </c>
      <c r="E27">
        <v>1</v>
      </c>
    </row>
    <row r="28" spans="1:7" x14ac:dyDescent="0.25">
      <c r="A28" t="s">
        <v>78</v>
      </c>
      <c r="B28" t="s">
        <v>79</v>
      </c>
      <c r="C28" t="s">
        <v>80</v>
      </c>
      <c r="D28" t="s">
        <v>81</v>
      </c>
      <c r="E28">
        <v>1</v>
      </c>
      <c r="F28" t="s">
        <v>82</v>
      </c>
      <c r="G28" t="s">
        <v>83</v>
      </c>
    </row>
    <row r="29" spans="1:7" x14ac:dyDescent="0.25">
      <c r="A29" t="s">
        <v>84</v>
      </c>
      <c r="B29" t="s">
        <v>85</v>
      </c>
      <c r="C29" t="s">
        <v>86</v>
      </c>
      <c r="D29" t="s">
        <v>87</v>
      </c>
      <c r="E29">
        <v>1</v>
      </c>
      <c r="F29" t="s">
        <v>88</v>
      </c>
      <c r="G29" t="s">
        <v>89</v>
      </c>
    </row>
    <row r="30" spans="1:7" x14ac:dyDescent="0.25">
      <c r="E30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topLeftCell="A18" zoomScale="93" zoomScaleNormal="93" workbookViewId="0">
      <selection activeCell="F35" sqref="F35"/>
    </sheetView>
  </sheetViews>
  <sheetFormatPr defaultRowHeight="15" x14ac:dyDescent="0.25"/>
  <cols>
    <col min="2" max="2" width="13.42578125" customWidth="1"/>
    <col min="3" max="3" width="14" customWidth="1"/>
    <col min="4" max="4" width="13.85546875" customWidth="1"/>
    <col min="5" max="5" width="18.42578125" customWidth="1"/>
    <col min="6" max="6" width="12.85546875" customWidth="1"/>
    <col min="7" max="7" width="13.140625" customWidth="1"/>
    <col min="8" max="8" width="68" customWidth="1"/>
  </cols>
  <sheetData>
    <row r="1" spans="1:8" ht="30" x14ac:dyDescent="0.25">
      <c r="A1" t="s">
        <v>94</v>
      </c>
      <c r="B1" t="s">
        <v>109</v>
      </c>
      <c r="C1" t="s">
        <v>1</v>
      </c>
      <c r="D1" t="s">
        <v>2</v>
      </c>
      <c r="E1" t="s">
        <v>3</v>
      </c>
      <c r="F1" s="1" t="s">
        <v>90</v>
      </c>
      <c r="G1" t="s">
        <v>91</v>
      </c>
      <c r="H1" t="s">
        <v>5</v>
      </c>
    </row>
    <row r="2" spans="1:8" x14ac:dyDescent="0.25">
      <c r="A2">
        <v>1</v>
      </c>
      <c r="B2" t="s">
        <v>110</v>
      </c>
      <c r="C2" t="s">
        <v>17</v>
      </c>
      <c r="D2" t="s">
        <v>93</v>
      </c>
      <c r="E2" t="s">
        <v>19</v>
      </c>
      <c r="F2">
        <v>1</v>
      </c>
      <c r="G2">
        <v>10</v>
      </c>
    </row>
    <row r="3" spans="1:8" x14ac:dyDescent="0.25">
      <c r="A3">
        <v>2</v>
      </c>
      <c r="B3" t="s">
        <v>110</v>
      </c>
      <c r="C3" t="s">
        <v>17</v>
      </c>
      <c r="D3" t="s">
        <v>92</v>
      </c>
      <c r="E3" t="s">
        <v>19</v>
      </c>
      <c r="F3">
        <v>1</v>
      </c>
      <c r="G3">
        <v>10</v>
      </c>
    </row>
    <row r="4" spans="1:8" x14ac:dyDescent="0.25">
      <c r="A4">
        <v>3</v>
      </c>
      <c r="B4" t="s">
        <v>110</v>
      </c>
      <c r="C4" t="s">
        <v>112</v>
      </c>
      <c r="D4" s="2" t="s">
        <v>114</v>
      </c>
      <c r="E4" t="s">
        <v>115</v>
      </c>
      <c r="F4" t="s">
        <v>113</v>
      </c>
      <c r="G4">
        <v>2</v>
      </c>
      <c r="H4" t="s">
        <v>117</v>
      </c>
    </row>
    <row r="5" spans="1:8" x14ac:dyDescent="0.25">
      <c r="B5" t="s">
        <v>110</v>
      </c>
      <c r="C5" t="s">
        <v>111</v>
      </c>
      <c r="D5" t="s">
        <v>22</v>
      </c>
      <c r="E5" t="s">
        <v>116</v>
      </c>
      <c r="F5">
        <v>1</v>
      </c>
      <c r="G5">
        <v>10</v>
      </c>
      <c r="H5" t="s">
        <v>23</v>
      </c>
    </row>
    <row r="6" spans="1:8" ht="45" x14ac:dyDescent="0.25">
      <c r="B6" t="s">
        <v>110</v>
      </c>
      <c r="C6" t="s">
        <v>98</v>
      </c>
      <c r="D6" t="s">
        <v>100</v>
      </c>
      <c r="E6" s="1" t="s">
        <v>101</v>
      </c>
      <c r="F6">
        <v>2</v>
      </c>
      <c r="G6">
        <v>25</v>
      </c>
      <c r="H6" t="s">
        <v>99</v>
      </c>
    </row>
    <row r="7" spans="1:8" x14ac:dyDescent="0.25">
      <c r="B7" t="s">
        <v>110</v>
      </c>
      <c r="C7" t="s">
        <v>39</v>
      </c>
      <c r="D7" t="s">
        <v>40</v>
      </c>
      <c r="E7" t="s">
        <v>41</v>
      </c>
      <c r="F7">
        <v>1</v>
      </c>
      <c r="G7">
        <v>9</v>
      </c>
      <c r="H7" t="s">
        <v>102</v>
      </c>
    </row>
    <row r="8" spans="1:8" x14ac:dyDescent="0.25">
      <c r="B8" t="s">
        <v>118</v>
      </c>
      <c r="C8" t="s">
        <v>95</v>
      </c>
      <c r="E8" t="s">
        <v>97</v>
      </c>
    </row>
    <row r="9" spans="1:8" x14ac:dyDescent="0.25">
      <c r="B9" t="s">
        <v>118</v>
      </c>
      <c r="C9" t="s">
        <v>96</v>
      </c>
      <c r="E9" t="s">
        <v>97</v>
      </c>
    </row>
    <row r="10" spans="1:8" x14ac:dyDescent="0.25">
      <c r="B10" t="s">
        <v>110</v>
      </c>
      <c r="C10" t="s">
        <v>8</v>
      </c>
      <c r="D10" t="s">
        <v>9</v>
      </c>
      <c r="E10" t="s">
        <v>8</v>
      </c>
      <c r="F10">
        <v>2</v>
      </c>
      <c r="G10">
        <v>18</v>
      </c>
    </row>
    <row r="11" spans="1:8" x14ac:dyDescent="0.25">
      <c r="B11" t="s">
        <v>110</v>
      </c>
      <c r="C11" t="s">
        <v>8</v>
      </c>
      <c r="D11" t="s">
        <v>12</v>
      </c>
      <c r="E11" t="s">
        <v>8</v>
      </c>
      <c r="F11">
        <v>4</v>
      </c>
      <c r="G11">
        <v>30</v>
      </c>
    </row>
    <row r="12" spans="1:8" x14ac:dyDescent="0.25">
      <c r="B12" t="s">
        <v>110</v>
      </c>
      <c r="C12" t="s">
        <v>45</v>
      </c>
      <c r="D12" t="s">
        <v>46</v>
      </c>
      <c r="E12" t="s">
        <v>45</v>
      </c>
      <c r="F12">
        <v>1</v>
      </c>
      <c r="G12">
        <v>10</v>
      </c>
    </row>
    <row r="13" spans="1:8" x14ac:dyDescent="0.25">
      <c r="B13" t="s">
        <v>110</v>
      </c>
      <c r="C13" t="s">
        <v>45</v>
      </c>
      <c r="D13" t="s">
        <v>48</v>
      </c>
      <c r="E13" t="s">
        <v>45</v>
      </c>
      <c r="F13">
        <v>1</v>
      </c>
      <c r="G13">
        <v>20</v>
      </c>
    </row>
    <row r="14" spans="1:8" x14ac:dyDescent="0.25">
      <c r="B14" t="s">
        <v>110</v>
      </c>
      <c r="C14" t="s">
        <v>48</v>
      </c>
      <c r="D14" t="s">
        <v>48</v>
      </c>
      <c r="E14" t="s">
        <v>50</v>
      </c>
      <c r="F14">
        <v>1</v>
      </c>
      <c r="G14">
        <v>20</v>
      </c>
    </row>
    <row r="15" spans="1:8" x14ac:dyDescent="0.25">
      <c r="B15" t="s">
        <v>110</v>
      </c>
      <c r="C15" t="s">
        <v>52</v>
      </c>
      <c r="D15" t="s">
        <v>53</v>
      </c>
      <c r="E15" t="s">
        <v>54</v>
      </c>
      <c r="F15">
        <v>1</v>
      </c>
      <c r="G15">
        <v>8</v>
      </c>
      <c r="H15" t="s">
        <v>55</v>
      </c>
    </row>
    <row r="16" spans="1:8" x14ac:dyDescent="0.25">
      <c r="B16" t="s">
        <v>110</v>
      </c>
      <c r="C16" t="s">
        <v>58</v>
      </c>
      <c r="D16" t="s">
        <v>58</v>
      </c>
      <c r="E16" t="s">
        <v>50</v>
      </c>
      <c r="F16">
        <v>1</v>
      </c>
      <c r="G16">
        <v>10</v>
      </c>
    </row>
    <row r="17" spans="2:8" x14ac:dyDescent="0.25">
      <c r="B17" t="s">
        <v>110</v>
      </c>
      <c r="C17" t="s">
        <v>60</v>
      </c>
      <c r="D17" t="s">
        <v>61</v>
      </c>
      <c r="E17" t="s">
        <v>50</v>
      </c>
      <c r="F17">
        <v>1</v>
      </c>
      <c r="G17">
        <v>10</v>
      </c>
    </row>
    <row r="18" spans="2:8" x14ac:dyDescent="0.25">
      <c r="B18" t="s">
        <v>110</v>
      </c>
      <c r="C18" t="s">
        <v>63</v>
      </c>
      <c r="D18" t="s">
        <v>64</v>
      </c>
      <c r="E18" t="s">
        <v>50</v>
      </c>
      <c r="F18">
        <v>1</v>
      </c>
      <c r="G18">
        <v>10</v>
      </c>
    </row>
    <row r="19" spans="2:8" x14ac:dyDescent="0.25">
      <c r="B19" t="s">
        <v>110</v>
      </c>
      <c r="C19" t="s">
        <v>66</v>
      </c>
      <c r="D19" t="s">
        <v>67</v>
      </c>
      <c r="E19" t="s">
        <v>50</v>
      </c>
      <c r="F19">
        <v>1</v>
      </c>
      <c r="G19">
        <v>10</v>
      </c>
    </row>
    <row r="20" spans="2:8" x14ac:dyDescent="0.25">
      <c r="B20" t="s">
        <v>110</v>
      </c>
      <c r="C20" t="s">
        <v>71</v>
      </c>
      <c r="D20">
        <v>330</v>
      </c>
      <c r="E20" t="s">
        <v>50</v>
      </c>
      <c r="F20">
        <v>1</v>
      </c>
      <c r="G20">
        <v>10</v>
      </c>
    </row>
    <row r="21" spans="2:8" x14ac:dyDescent="0.25">
      <c r="B21" t="s">
        <v>110</v>
      </c>
      <c r="C21" t="s">
        <v>73</v>
      </c>
      <c r="E21" t="s">
        <v>74</v>
      </c>
      <c r="F21">
        <v>1</v>
      </c>
      <c r="G21">
        <v>10</v>
      </c>
      <c r="H21" t="s">
        <v>103</v>
      </c>
    </row>
    <row r="22" spans="2:8" x14ac:dyDescent="0.25">
      <c r="B22" t="s">
        <v>110</v>
      </c>
      <c r="C22" t="s">
        <v>76</v>
      </c>
      <c r="D22" t="s">
        <v>77</v>
      </c>
      <c r="E22" t="s">
        <v>76</v>
      </c>
      <c r="F22">
        <v>1</v>
      </c>
      <c r="G22">
        <v>7</v>
      </c>
      <c r="H22" t="s">
        <v>104</v>
      </c>
    </row>
    <row r="23" spans="2:8" x14ac:dyDescent="0.25">
      <c r="B23" t="s">
        <v>110</v>
      </c>
      <c r="C23" t="s">
        <v>79</v>
      </c>
      <c r="D23" t="s">
        <v>80</v>
      </c>
      <c r="E23" t="s">
        <v>81</v>
      </c>
      <c r="F23">
        <v>1</v>
      </c>
      <c r="G23">
        <v>25</v>
      </c>
      <c r="H23" t="s">
        <v>82</v>
      </c>
    </row>
    <row r="24" spans="2:8" x14ac:dyDescent="0.25">
      <c r="B24" t="s">
        <v>110</v>
      </c>
      <c r="C24" t="s">
        <v>85</v>
      </c>
      <c r="D24" t="s">
        <v>86</v>
      </c>
      <c r="E24" t="s">
        <v>87</v>
      </c>
      <c r="F24">
        <v>1</v>
      </c>
      <c r="G24">
        <v>10</v>
      </c>
      <c r="H24" t="s">
        <v>88</v>
      </c>
    </row>
    <row r="26" spans="2:8" x14ac:dyDescent="0.25">
      <c r="B26" t="s">
        <v>119</v>
      </c>
      <c r="C26" t="s">
        <v>105</v>
      </c>
      <c r="G26">
        <v>2</v>
      </c>
    </row>
    <row r="27" spans="2:8" x14ac:dyDescent="0.25">
      <c r="B27" t="s">
        <v>119</v>
      </c>
      <c r="C27" t="s">
        <v>106</v>
      </c>
      <c r="G27">
        <v>2</v>
      </c>
    </row>
    <row r="28" spans="2:8" x14ac:dyDescent="0.25">
      <c r="B28" t="s">
        <v>120</v>
      </c>
      <c r="C28" t="s">
        <v>107</v>
      </c>
    </row>
    <row r="29" spans="2:8" x14ac:dyDescent="0.25">
      <c r="B29" t="s">
        <v>120</v>
      </c>
      <c r="C29" t="s">
        <v>108</v>
      </c>
    </row>
    <row r="33" spans="2:7" x14ac:dyDescent="0.25">
      <c r="B33" t="s">
        <v>121</v>
      </c>
      <c r="D33" s="3">
        <v>43227</v>
      </c>
    </row>
    <row r="34" spans="2:7" x14ac:dyDescent="0.25">
      <c r="B34" t="s">
        <v>125</v>
      </c>
      <c r="C34" t="s">
        <v>126</v>
      </c>
      <c r="D34" t="s">
        <v>127</v>
      </c>
      <c r="E34" t="s">
        <v>130</v>
      </c>
      <c r="F34" t="s">
        <v>133</v>
      </c>
      <c r="G34" t="s">
        <v>134</v>
      </c>
    </row>
    <row r="35" spans="2:7" x14ac:dyDescent="0.25">
      <c r="B35" t="s">
        <v>122</v>
      </c>
      <c r="C35">
        <v>923.72</v>
      </c>
      <c r="D35" t="s">
        <v>128</v>
      </c>
      <c r="E35" t="s">
        <v>131</v>
      </c>
    </row>
    <row r="36" spans="2:7" x14ac:dyDescent="0.25">
      <c r="B36" t="s">
        <v>123</v>
      </c>
      <c r="C36">
        <v>1155.27</v>
      </c>
      <c r="D36" t="s">
        <v>128</v>
      </c>
      <c r="E36" t="s">
        <v>131</v>
      </c>
    </row>
    <row r="37" spans="2:7" x14ac:dyDescent="0.25">
      <c r="B37" t="s">
        <v>124</v>
      </c>
      <c r="C37">
        <v>2776</v>
      </c>
    </row>
    <row r="38" spans="2:7" x14ac:dyDescent="0.25">
      <c r="B38" t="s">
        <v>129</v>
      </c>
      <c r="C38">
        <v>1834</v>
      </c>
      <c r="D38" t="s">
        <v>128</v>
      </c>
      <c r="E38" t="s">
        <v>131</v>
      </c>
    </row>
    <row r="39" spans="2:7" x14ac:dyDescent="0.25">
      <c r="C39">
        <f>SUM(C35:C38)</f>
        <v>6688.99</v>
      </c>
    </row>
    <row r="40" spans="2:7" x14ac:dyDescent="0.25">
      <c r="B40" t="s">
        <v>132</v>
      </c>
      <c r="C40">
        <f>C39/6</f>
        <v>1114.8316666666667</v>
      </c>
    </row>
  </sheetData>
  <hyperlinks>
    <hyperlink ref="D4" r:id="rId1" display="http://in.element14.com/vishay/tsus4300/ir-emitter-3mm-950nm/dp/1045518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buylist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</dc:creator>
  <cp:lastModifiedBy>MANOJ V</cp:lastModifiedBy>
  <dcterms:created xsi:type="dcterms:W3CDTF">2018-05-05T10:34:15Z</dcterms:created>
  <dcterms:modified xsi:type="dcterms:W3CDTF">2018-05-07T09:47:22Z</dcterms:modified>
</cp:coreProperties>
</file>